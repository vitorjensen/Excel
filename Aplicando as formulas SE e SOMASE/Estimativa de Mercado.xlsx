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renato_nascimento_sp_senai_br/Documents/Área de Trabalho/"/>
    </mc:Choice>
  </mc:AlternateContent>
  <xr:revisionPtr revIDLastSave="0" documentId="8_{753376B1-A247-4077-934D-8B71EDB4D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Populac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16" i="1"/>
  <c r="F17" i="1"/>
  <c r="F15" i="1"/>
  <c r="F14" i="1"/>
</calcChain>
</file>

<file path=xl/sharedStrings.xml><?xml version="1.0" encoding="utf-8"?>
<sst xmlns="http://schemas.openxmlformats.org/spreadsheetml/2006/main" count="436" uniqueCount="33">
  <si>
    <t>Parâmetro</t>
  </si>
  <si>
    <t>Valor</t>
  </si>
  <si>
    <t>Ticket médio anual</t>
  </si>
  <si>
    <t>Público Elíegível</t>
  </si>
  <si>
    <t>Estimativa de Mercado</t>
  </si>
  <si>
    <t>Premissas utilizadas</t>
  </si>
  <si>
    <t>Elegível = Faixa Etária "18-24" e Escolaridade "Ensino Médio Completo".</t>
  </si>
  <si>
    <t>Regra da fórmula Perfil Elegível</t>
  </si>
  <si>
    <t>1 se Faixa Etária = 18-24 e Escolaridade = "Ensino Médio Completo"; caso contrário, 0</t>
  </si>
  <si>
    <t>TABELA DE DADOS</t>
  </si>
  <si>
    <t>Região</t>
  </si>
  <si>
    <t>População</t>
  </si>
  <si>
    <t>Faixa Etária</t>
  </si>
  <si>
    <t>Escolaridade</t>
  </si>
  <si>
    <t>Renda Média</t>
  </si>
  <si>
    <t>Perfil Elegível</t>
  </si>
  <si>
    <t>Sul</t>
  </si>
  <si>
    <t>25-34</t>
  </si>
  <si>
    <t>Superior Incompleto</t>
  </si>
  <si>
    <t>Centro-Oeste</t>
  </si>
  <si>
    <t>18-24</t>
  </si>
  <si>
    <t>Ensino Médio Completo</t>
  </si>
  <si>
    <t>Norte</t>
  </si>
  <si>
    <t>Fundamental Completo</t>
  </si>
  <si>
    <t>Pós-graduação</t>
  </si>
  <si>
    <t>15-17</t>
  </si>
  <si>
    <t>Sudeste</t>
  </si>
  <si>
    <t>Superior Completo</t>
  </si>
  <si>
    <t>45-54</t>
  </si>
  <si>
    <t>Nordeste</t>
  </si>
  <si>
    <t>10-14</t>
  </si>
  <si>
    <t>Fundamental Incompleto</t>
  </si>
  <si>
    <t>35-44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</si>
</sst>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7" fillId="6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8" fillId="7" borderId="0" xfId="0" applyFont="1" applyFill="1" applyAlignment="1">
      <alignment horizontal="center"/>
    </xf>
    <xf numFmtId="44" fontId="3" fillId="4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4" fillId="8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workbookViewId="0">
      <selection activeCell="B5" sqref="B5"/>
    </sheetView>
  </sheetViews>
  <sheetFormatPr defaultRowHeight="14.45"/>
  <cols>
    <col min="1" max="1" width="39.140625" customWidth="1"/>
    <col min="2" max="2" width="17.42578125" customWidth="1"/>
    <col min="3" max="3" width="14" customWidth="1"/>
    <col min="4" max="4" width="24" customWidth="1"/>
    <col min="5" max="5" width="14" customWidth="1"/>
    <col min="6" max="6" width="16" customWidth="1"/>
  </cols>
  <sheetData>
    <row r="1" spans="1:6">
      <c r="A1" s="1" t="s">
        <v>0</v>
      </c>
      <c r="B1" s="11" t="s">
        <v>1</v>
      </c>
      <c r="C1" s="11"/>
      <c r="D1" s="11"/>
      <c r="E1" s="11"/>
      <c r="F1" s="11"/>
    </row>
    <row r="2" spans="1:6">
      <c r="A2" s="2" t="s">
        <v>2</v>
      </c>
      <c r="B2" s="10">
        <v>500</v>
      </c>
      <c r="C2" s="10"/>
      <c r="D2" s="10"/>
      <c r="E2" s="10"/>
      <c r="F2" s="10"/>
    </row>
    <row r="3" spans="1:6">
      <c r="A3" s="2" t="s">
        <v>3</v>
      </c>
      <c r="B3" s="12">
        <f>SUMIF(F13:F153,"1",B13:B153)</f>
        <v>227278</v>
      </c>
      <c r="C3" s="12"/>
      <c r="D3" s="12"/>
      <c r="E3" s="12"/>
      <c r="F3" s="12"/>
    </row>
    <row r="4" spans="1:6">
      <c r="A4" s="2" t="s">
        <v>4</v>
      </c>
      <c r="B4" s="13">
        <f>B3*B2</f>
        <v>113639000</v>
      </c>
      <c r="C4" s="13"/>
      <c r="D4" s="13"/>
      <c r="E4" s="13"/>
      <c r="F4" s="13"/>
    </row>
    <row r="6" spans="1:6">
      <c r="A6" s="2" t="s">
        <v>5</v>
      </c>
      <c r="B6" s="14" t="s">
        <v>6</v>
      </c>
      <c r="C6" s="14"/>
      <c r="D6" s="14"/>
      <c r="E6" s="14"/>
      <c r="F6" s="14"/>
    </row>
    <row r="8" spans="1:6">
      <c r="A8" s="2" t="s">
        <v>7</v>
      </c>
      <c r="B8" s="3" t="s">
        <v>8</v>
      </c>
      <c r="C8" s="3"/>
      <c r="D8" s="3"/>
      <c r="E8" s="3"/>
      <c r="F8" s="3"/>
    </row>
    <row r="9" spans="1:6">
      <c r="A9" s="2"/>
      <c r="B9" s="3"/>
      <c r="C9" s="3"/>
      <c r="D9" s="3"/>
      <c r="E9" s="3"/>
      <c r="F9" s="3"/>
    </row>
    <row r="11" spans="1:6">
      <c r="A11" s="9" t="s">
        <v>9</v>
      </c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</row>
    <row r="14" spans="1:6">
      <c r="A14" s="5" t="s">
        <v>16</v>
      </c>
      <c r="B14" s="6">
        <v>8479</v>
      </c>
      <c r="C14" s="5" t="s">
        <v>17</v>
      </c>
      <c r="D14" s="5" t="s">
        <v>18</v>
      </c>
      <c r="E14" s="7">
        <v>6041</v>
      </c>
      <c r="F14" s="8">
        <f>IF(AND(C14="18-24",D14="Ensino Médio Completo"),1,0)</f>
        <v>0</v>
      </c>
    </row>
    <row r="15" spans="1:6">
      <c r="A15" s="5" t="s">
        <v>19</v>
      </c>
      <c r="B15" s="6">
        <v>19870</v>
      </c>
      <c r="C15" s="5" t="s">
        <v>20</v>
      </c>
      <c r="D15" s="5" t="s">
        <v>21</v>
      </c>
      <c r="E15" s="7">
        <v>1554</v>
      </c>
      <c r="F15" s="8">
        <f>IF(AND(C15="18-24",D15="Ensino Médio Completo"),1,0)</f>
        <v>1</v>
      </c>
    </row>
    <row r="16" spans="1:6">
      <c r="A16" s="5" t="s">
        <v>22</v>
      </c>
      <c r="B16" s="6">
        <v>14857</v>
      </c>
      <c r="C16" s="5" t="s">
        <v>17</v>
      </c>
      <c r="D16" s="5" t="s">
        <v>18</v>
      </c>
      <c r="E16" s="7">
        <v>3018</v>
      </c>
      <c r="F16" s="8">
        <f t="shared" ref="F16:F79" si="0">IF(AND(C16="18-24",D16="Ensino Médio Completo"),1,0)</f>
        <v>0</v>
      </c>
    </row>
    <row r="17" spans="1:6">
      <c r="A17" s="5" t="s">
        <v>19</v>
      </c>
      <c r="B17" s="6">
        <v>8521</v>
      </c>
      <c r="C17" s="5" t="s">
        <v>20</v>
      </c>
      <c r="D17" s="5" t="s">
        <v>23</v>
      </c>
      <c r="E17" s="7">
        <v>1633</v>
      </c>
      <c r="F17" s="8">
        <f t="shared" si="0"/>
        <v>0</v>
      </c>
    </row>
    <row r="18" spans="1:6">
      <c r="A18" s="5" t="s">
        <v>22</v>
      </c>
      <c r="B18" s="6">
        <v>19880</v>
      </c>
      <c r="C18" s="5" t="s">
        <v>17</v>
      </c>
      <c r="D18" s="5" t="s">
        <v>24</v>
      </c>
      <c r="E18" s="7">
        <v>3318</v>
      </c>
      <c r="F18" s="8">
        <f t="shared" si="0"/>
        <v>0</v>
      </c>
    </row>
    <row r="19" spans="1:6">
      <c r="A19" s="5" t="s">
        <v>22</v>
      </c>
      <c r="B19" s="6">
        <v>18184</v>
      </c>
      <c r="C19" s="5" t="s">
        <v>25</v>
      </c>
      <c r="D19" s="5" t="s">
        <v>23</v>
      </c>
      <c r="E19" s="7">
        <v>2090</v>
      </c>
      <c r="F19" s="8">
        <f t="shared" si="0"/>
        <v>0</v>
      </c>
    </row>
    <row r="20" spans="1:6">
      <c r="A20" s="5" t="s">
        <v>26</v>
      </c>
      <c r="B20" s="6">
        <v>14870</v>
      </c>
      <c r="C20" s="5" t="s">
        <v>20</v>
      </c>
      <c r="D20" s="5" t="s">
        <v>23</v>
      </c>
      <c r="E20" s="7">
        <v>3927</v>
      </c>
      <c r="F20" s="8">
        <f t="shared" si="0"/>
        <v>0</v>
      </c>
    </row>
    <row r="21" spans="1:6">
      <c r="A21" s="5" t="s">
        <v>16</v>
      </c>
      <c r="B21" s="6">
        <v>15555</v>
      </c>
      <c r="C21" s="5" t="s">
        <v>17</v>
      </c>
      <c r="D21" s="5" t="s">
        <v>27</v>
      </c>
      <c r="E21" s="7">
        <v>5031</v>
      </c>
      <c r="F21" s="8">
        <f t="shared" si="0"/>
        <v>0</v>
      </c>
    </row>
    <row r="22" spans="1:6">
      <c r="A22" s="5" t="s">
        <v>16</v>
      </c>
      <c r="B22" s="6">
        <v>4853</v>
      </c>
      <c r="C22" s="5" t="s">
        <v>28</v>
      </c>
      <c r="D22" s="5" t="s">
        <v>23</v>
      </c>
      <c r="E22" s="7">
        <v>3298</v>
      </c>
      <c r="F22" s="8">
        <f t="shared" si="0"/>
        <v>0</v>
      </c>
    </row>
    <row r="23" spans="1:6">
      <c r="A23" s="5" t="s">
        <v>22</v>
      </c>
      <c r="B23" s="6">
        <v>20786</v>
      </c>
      <c r="C23" s="5" t="s">
        <v>20</v>
      </c>
      <c r="D23" s="5" t="s">
        <v>21</v>
      </c>
      <c r="E23" s="7">
        <v>2246</v>
      </c>
      <c r="F23" s="8">
        <f t="shared" si="0"/>
        <v>1</v>
      </c>
    </row>
    <row r="24" spans="1:6">
      <c r="A24" s="5" t="s">
        <v>22</v>
      </c>
      <c r="B24" s="6">
        <v>12855</v>
      </c>
      <c r="C24" s="5" t="s">
        <v>20</v>
      </c>
      <c r="D24" s="5" t="s">
        <v>18</v>
      </c>
      <c r="E24" s="7">
        <v>3388</v>
      </c>
      <c r="F24" s="8">
        <f t="shared" si="0"/>
        <v>0</v>
      </c>
    </row>
    <row r="25" spans="1:6">
      <c r="A25" s="5" t="s">
        <v>19</v>
      </c>
      <c r="B25" s="6">
        <v>19258</v>
      </c>
      <c r="C25" s="5" t="s">
        <v>17</v>
      </c>
      <c r="D25" s="5" t="s">
        <v>18</v>
      </c>
      <c r="E25" s="7">
        <v>6625</v>
      </c>
      <c r="F25" s="8">
        <f t="shared" si="0"/>
        <v>0</v>
      </c>
    </row>
    <row r="26" spans="1:6">
      <c r="A26" s="5" t="s">
        <v>16</v>
      </c>
      <c r="B26" s="6">
        <v>19987</v>
      </c>
      <c r="C26" s="5" t="s">
        <v>20</v>
      </c>
      <c r="D26" s="5" t="s">
        <v>18</v>
      </c>
      <c r="E26" s="7">
        <v>2530</v>
      </c>
      <c r="F26" s="8">
        <f t="shared" si="0"/>
        <v>0</v>
      </c>
    </row>
    <row r="27" spans="1:6">
      <c r="A27" s="5" t="s">
        <v>29</v>
      </c>
      <c r="B27" s="6">
        <v>8136</v>
      </c>
      <c r="C27" s="5" t="s">
        <v>17</v>
      </c>
      <c r="D27" s="5" t="s">
        <v>18</v>
      </c>
      <c r="E27" s="7">
        <v>5382</v>
      </c>
      <c r="F27" s="8">
        <f t="shared" si="0"/>
        <v>0</v>
      </c>
    </row>
    <row r="28" spans="1:6">
      <c r="A28" s="5" t="s">
        <v>29</v>
      </c>
      <c r="B28" s="6">
        <v>10846</v>
      </c>
      <c r="C28" s="5" t="s">
        <v>30</v>
      </c>
      <c r="D28" s="5" t="s">
        <v>23</v>
      </c>
      <c r="E28" s="7">
        <v>2287</v>
      </c>
      <c r="F28" s="8">
        <f t="shared" si="0"/>
        <v>0</v>
      </c>
    </row>
    <row r="29" spans="1:6">
      <c r="A29" s="5" t="s">
        <v>19</v>
      </c>
      <c r="B29" s="6">
        <v>12815</v>
      </c>
      <c r="C29" s="5" t="s">
        <v>17</v>
      </c>
      <c r="D29" s="5" t="s">
        <v>24</v>
      </c>
      <c r="E29" s="7">
        <v>3245</v>
      </c>
      <c r="F29" s="8">
        <f t="shared" si="0"/>
        <v>0</v>
      </c>
    </row>
    <row r="30" spans="1:6">
      <c r="A30" s="5" t="s">
        <v>19</v>
      </c>
      <c r="B30" s="6">
        <v>16094</v>
      </c>
      <c r="C30" s="5" t="s">
        <v>20</v>
      </c>
      <c r="D30" s="5" t="s">
        <v>23</v>
      </c>
      <c r="E30" s="7">
        <v>5424</v>
      </c>
      <c r="F30" s="8">
        <f t="shared" si="0"/>
        <v>0</v>
      </c>
    </row>
    <row r="31" spans="1:6">
      <c r="A31" s="5" t="s">
        <v>16</v>
      </c>
      <c r="B31" s="6">
        <v>10033</v>
      </c>
      <c r="C31" s="5" t="s">
        <v>25</v>
      </c>
      <c r="D31" s="5" t="s">
        <v>23</v>
      </c>
      <c r="E31" s="7">
        <v>1889</v>
      </c>
      <c r="F31" s="8">
        <f t="shared" si="0"/>
        <v>0</v>
      </c>
    </row>
    <row r="32" spans="1:6">
      <c r="A32" s="5" t="s">
        <v>26</v>
      </c>
      <c r="B32" s="6">
        <v>7421</v>
      </c>
      <c r="C32" s="5" t="s">
        <v>25</v>
      </c>
      <c r="D32" s="5" t="s">
        <v>23</v>
      </c>
      <c r="E32" s="7">
        <v>1364</v>
      </c>
      <c r="F32" s="8">
        <f t="shared" si="0"/>
        <v>0</v>
      </c>
    </row>
    <row r="33" spans="1:6">
      <c r="A33" s="5" t="s">
        <v>26</v>
      </c>
      <c r="B33" s="6">
        <v>16187</v>
      </c>
      <c r="C33" s="5" t="s">
        <v>25</v>
      </c>
      <c r="D33" s="5" t="s">
        <v>31</v>
      </c>
      <c r="E33" s="7">
        <v>808</v>
      </c>
      <c r="F33" s="8">
        <f t="shared" si="0"/>
        <v>0</v>
      </c>
    </row>
    <row r="34" spans="1:6">
      <c r="A34" s="5" t="s">
        <v>29</v>
      </c>
      <c r="B34" s="6">
        <v>10470</v>
      </c>
      <c r="C34" s="5" t="s">
        <v>20</v>
      </c>
      <c r="D34" s="5" t="s">
        <v>18</v>
      </c>
      <c r="E34" s="7">
        <v>4594</v>
      </c>
      <c r="F34" s="8">
        <f t="shared" si="0"/>
        <v>0</v>
      </c>
    </row>
    <row r="35" spans="1:6">
      <c r="A35" s="5" t="s">
        <v>19</v>
      </c>
      <c r="B35" s="6">
        <v>3233</v>
      </c>
      <c r="C35" s="5" t="s">
        <v>20</v>
      </c>
      <c r="D35" s="5" t="s">
        <v>21</v>
      </c>
      <c r="E35" s="7">
        <v>2850</v>
      </c>
      <c r="F35" s="8">
        <f t="shared" si="0"/>
        <v>1</v>
      </c>
    </row>
    <row r="36" spans="1:6">
      <c r="A36" s="5" t="s">
        <v>19</v>
      </c>
      <c r="B36" s="6">
        <v>21232</v>
      </c>
      <c r="C36" s="5" t="s">
        <v>20</v>
      </c>
      <c r="D36" s="5" t="s">
        <v>18</v>
      </c>
      <c r="E36" s="7">
        <v>4987</v>
      </c>
      <c r="F36" s="8">
        <f t="shared" si="0"/>
        <v>0</v>
      </c>
    </row>
    <row r="37" spans="1:6">
      <c r="A37" s="5" t="s">
        <v>16</v>
      </c>
      <c r="B37" s="6">
        <v>8072</v>
      </c>
      <c r="C37" s="5" t="s">
        <v>17</v>
      </c>
      <c r="D37" s="5" t="s">
        <v>21</v>
      </c>
      <c r="E37" s="7">
        <v>2260</v>
      </c>
      <c r="F37" s="8">
        <f t="shared" si="0"/>
        <v>0</v>
      </c>
    </row>
    <row r="38" spans="1:6">
      <c r="A38" s="5" t="s">
        <v>19</v>
      </c>
      <c r="B38" s="6">
        <v>17874</v>
      </c>
      <c r="C38" s="5" t="s">
        <v>17</v>
      </c>
      <c r="D38" s="5" t="s">
        <v>27</v>
      </c>
      <c r="E38" s="7">
        <v>7080</v>
      </c>
      <c r="F38" s="8">
        <f t="shared" si="0"/>
        <v>0</v>
      </c>
    </row>
    <row r="39" spans="1:6">
      <c r="A39" s="5" t="s">
        <v>16</v>
      </c>
      <c r="B39" s="6">
        <v>9673</v>
      </c>
      <c r="C39" s="5" t="s">
        <v>30</v>
      </c>
      <c r="D39" s="5" t="s">
        <v>23</v>
      </c>
      <c r="E39" s="7">
        <v>1632</v>
      </c>
      <c r="F39" s="8">
        <f t="shared" si="0"/>
        <v>0</v>
      </c>
    </row>
    <row r="40" spans="1:6">
      <c r="A40" s="5" t="s">
        <v>16</v>
      </c>
      <c r="B40" s="6">
        <v>7703</v>
      </c>
      <c r="C40" s="5" t="s">
        <v>17</v>
      </c>
      <c r="D40" s="5" t="s">
        <v>27</v>
      </c>
      <c r="E40" s="7">
        <v>3435</v>
      </c>
      <c r="F40" s="8">
        <f t="shared" si="0"/>
        <v>0</v>
      </c>
    </row>
    <row r="41" spans="1:6">
      <c r="A41" s="5" t="s">
        <v>26</v>
      </c>
      <c r="B41" s="6">
        <v>11479</v>
      </c>
      <c r="C41" s="5" t="s">
        <v>17</v>
      </c>
      <c r="D41" s="5" t="s">
        <v>18</v>
      </c>
      <c r="E41" s="7">
        <v>2787</v>
      </c>
      <c r="F41" s="8">
        <f t="shared" si="0"/>
        <v>0</v>
      </c>
    </row>
    <row r="42" spans="1:6">
      <c r="A42" s="5" t="s">
        <v>16</v>
      </c>
      <c r="B42" s="6">
        <v>8676</v>
      </c>
      <c r="C42" s="5" t="s">
        <v>32</v>
      </c>
      <c r="D42" s="5" t="s">
        <v>24</v>
      </c>
      <c r="E42" s="7">
        <v>2294</v>
      </c>
      <c r="F42" s="8">
        <f t="shared" si="0"/>
        <v>0</v>
      </c>
    </row>
    <row r="43" spans="1:6">
      <c r="A43" s="5" t="s">
        <v>16</v>
      </c>
      <c r="B43" s="6">
        <v>4939</v>
      </c>
      <c r="C43" s="5" t="s">
        <v>25</v>
      </c>
      <c r="D43" s="5" t="s">
        <v>23</v>
      </c>
      <c r="E43" s="7">
        <v>1787</v>
      </c>
      <c r="F43" s="8">
        <f t="shared" si="0"/>
        <v>0</v>
      </c>
    </row>
    <row r="44" spans="1:6">
      <c r="A44" s="5" t="s">
        <v>29</v>
      </c>
      <c r="B44" s="6">
        <v>17363</v>
      </c>
      <c r="C44" s="5" t="s">
        <v>17</v>
      </c>
      <c r="D44" s="5" t="s">
        <v>18</v>
      </c>
      <c r="E44" s="7">
        <v>7956</v>
      </c>
      <c r="F44" s="8">
        <f t="shared" si="0"/>
        <v>0</v>
      </c>
    </row>
    <row r="45" spans="1:6">
      <c r="A45" s="5" t="s">
        <v>16</v>
      </c>
      <c r="B45" s="6">
        <v>21593</v>
      </c>
      <c r="C45" s="5" t="s">
        <v>32</v>
      </c>
      <c r="D45" s="5" t="s">
        <v>27</v>
      </c>
      <c r="E45" s="7">
        <v>3936</v>
      </c>
      <c r="F45" s="8">
        <f t="shared" si="0"/>
        <v>0</v>
      </c>
    </row>
    <row r="46" spans="1:6">
      <c r="A46" s="5" t="s">
        <v>29</v>
      </c>
      <c r="B46" s="6">
        <v>8931</v>
      </c>
      <c r="C46" s="5" t="s">
        <v>28</v>
      </c>
      <c r="D46" s="5" t="s">
        <v>23</v>
      </c>
      <c r="E46" s="7">
        <v>5567</v>
      </c>
      <c r="F46" s="8">
        <f t="shared" si="0"/>
        <v>0</v>
      </c>
    </row>
    <row r="47" spans="1:6">
      <c r="A47" s="5" t="s">
        <v>26</v>
      </c>
      <c r="B47" s="6">
        <v>3514</v>
      </c>
      <c r="C47" s="5" t="s">
        <v>25</v>
      </c>
      <c r="D47" s="5" t="s">
        <v>31</v>
      </c>
      <c r="E47" s="7">
        <v>1711</v>
      </c>
      <c r="F47" s="8">
        <f t="shared" si="0"/>
        <v>0</v>
      </c>
    </row>
    <row r="48" spans="1:6">
      <c r="A48" s="5" t="s">
        <v>29</v>
      </c>
      <c r="B48" s="6">
        <v>7812</v>
      </c>
      <c r="C48" s="5" t="s">
        <v>17</v>
      </c>
      <c r="D48" s="5" t="s">
        <v>18</v>
      </c>
      <c r="E48" s="7">
        <v>6401</v>
      </c>
      <c r="F48" s="8">
        <f t="shared" si="0"/>
        <v>0</v>
      </c>
    </row>
    <row r="49" spans="1:6">
      <c r="A49" s="5" t="s">
        <v>19</v>
      </c>
      <c r="B49" s="6">
        <v>11011</v>
      </c>
      <c r="C49" s="5" t="s">
        <v>20</v>
      </c>
      <c r="D49" s="5" t="s">
        <v>23</v>
      </c>
      <c r="E49" s="7">
        <v>2708</v>
      </c>
      <c r="F49" s="8">
        <f t="shared" si="0"/>
        <v>0</v>
      </c>
    </row>
    <row r="50" spans="1:6">
      <c r="A50" s="5" t="s">
        <v>22</v>
      </c>
      <c r="B50" s="6">
        <v>5936</v>
      </c>
      <c r="C50" s="5" t="s">
        <v>28</v>
      </c>
      <c r="D50" s="5" t="s">
        <v>27</v>
      </c>
      <c r="E50" s="7">
        <v>7298</v>
      </c>
      <c r="F50" s="8">
        <f t="shared" si="0"/>
        <v>0</v>
      </c>
    </row>
    <row r="51" spans="1:6">
      <c r="A51" s="5" t="s">
        <v>26</v>
      </c>
      <c r="B51" s="6">
        <v>7494</v>
      </c>
      <c r="C51" s="5" t="s">
        <v>32</v>
      </c>
      <c r="D51" s="5" t="s">
        <v>27</v>
      </c>
      <c r="E51" s="7">
        <v>3494</v>
      </c>
      <c r="F51" s="8">
        <f t="shared" si="0"/>
        <v>0</v>
      </c>
    </row>
    <row r="52" spans="1:6">
      <c r="A52" s="5" t="s">
        <v>26</v>
      </c>
      <c r="B52" s="6">
        <v>9969</v>
      </c>
      <c r="C52" s="5" t="s">
        <v>17</v>
      </c>
      <c r="D52" s="5" t="s">
        <v>27</v>
      </c>
      <c r="E52" s="7">
        <v>4753</v>
      </c>
      <c r="F52" s="8">
        <f t="shared" si="0"/>
        <v>0</v>
      </c>
    </row>
    <row r="53" spans="1:6">
      <c r="A53" s="5" t="s">
        <v>19</v>
      </c>
      <c r="B53" s="6">
        <v>17974</v>
      </c>
      <c r="C53" s="5" t="s">
        <v>25</v>
      </c>
      <c r="D53" s="5" t="s">
        <v>23</v>
      </c>
      <c r="E53" s="7">
        <v>2337</v>
      </c>
      <c r="F53" s="8">
        <f t="shared" si="0"/>
        <v>0</v>
      </c>
    </row>
    <row r="54" spans="1:6">
      <c r="A54" s="5" t="s">
        <v>29</v>
      </c>
      <c r="B54" s="6">
        <v>9317</v>
      </c>
      <c r="C54" s="5" t="s">
        <v>20</v>
      </c>
      <c r="D54" s="5" t="s">
        <v>27</v>
      </c>
      <c r="E54" s="7">
        <v>3167</v>
      </c>
      <c r="F54" s="8">
        <f t="shared" si="0"/>
        <v>0</v>
      </c>
    </row>
    <row r="55" spans="1:6">
      <c r="A55" s="5" t="s">
        <v>19</v>
      </c>
      <c r="B55" s="6">
        <v>13612</v>
      </c>
      <c r="C55" s="5" t="s">
        <v>17</v>
      </c>
      <c r="D55" s="5" t="s">
        <v>18</v>
      </c>
      <c r="E55" s="7">
        <v>1830</v>
      </c>
      <c r="F55" s="8">
        <f t="shared" si="0"/>
        <v>0</v>
      </c>
    </row>
    <row r="56" spans="1:6">
      <c r="A56" s="5" t="s">
        <v>29</v>
      </c>
      <c r="B56" s="6">
        <v>4285</v>
      </c>
      <c r="C56" s="5" t="s">
        <v>20</v>
      </c>
      <c r="D56" s="5" t="s">
        <v>18</v>
      </c>
      <c r="E56" s="7">
        <v>1927</v>
      </c>
      <c r="F56" s="8">
        <f t="shared" si="0"/>
        <v>0</v>
      </c>
    </row>
    <row r="57" spans="1:6">
      <c r="A57" s="5" t="s">
        <v>19</v>
      </c>
      <c r="B57" s="6">
        <v>3342</v>
      </c>
      <c r="C57" s="5" t="s">
        <v>28</v>
      </c>
      <c r="D57" s="5" t="s">
        <v>31</v>
      </c>
      <c r="E57" s="7">
        <v>5304</v>
      </c>
      <c r="F57" s="8">
        <f t="shared" si="0"/>
        <v>0</v>
      </c>
    </row>
    <row r="58" spans="1:6">
      <c r="A58" s="5" t="s">
        <v>26</v>
      </c>
      <c r="B58" s="6">
        <v>3217</v>
      </c>
      <c r="C58" s="5" t="s">
        <v>32</v>
      </c>
      <c r="D58" s="5" t="s">
        <v>24</v>
      </c>
      <c r="E58" s="7">
        <v>6135</v>
      </c>
      <c r="F58" s="8">
        <f t="shared" si="0"/>
        <v>0</v>
      </c>
    </row>
    <row r="59" spans="1:6">
      <c r="A59" s="5" t="s">
        <v>26</v>
      </c>
      <c r="B59" s="6">
        <v>15300</v>
      </c>
      <c r="C59" s="5" t="s">
        <v>28</v>
      </c>
      <c r="D59" s="5" t="s">
        <v>24</v>
      </c>
      <c r="E59" s="7">
        <v>7396</v>
      </c>
      <c r="F59" s="8">
        <f t="shared" si="0"/>
        <v>0</v>
      </c>
    </row>
    <row r="60" spans="1:6">
      <c r="A60" s="5" t="s">
        <v>26</v>
      </c>
      <c r="B60" s="6">
        <v>10061</v>
      </c>
      <c r="C60" s="5" t="s">
        <v>20</v>
      </c>
      <c r="D60" s="5" t="s">
        <v>21</v>
      </c>
      <c r="E60" s="7">
        <v>4310</v>
      </c>
      <c r="F60" s="8">
        <f t="shared" si="0"/>
        <v>1</v>
      </c>
    </row>
    <row r="61" spans="1:6">
      <c r="A61" s="5" t="s">
        <v>29</v>
      </c>
      <c r="B61" s="6">
        <v>6154</v>
      </c>
      <c r="C61" s="5" t="s">
        <v>20</v>
      </c>
      <c r="D61" s="5" t="s">
        <v>18</v>
      </c>
      <c r="E61" s="7">
        <v>2817</v>
      </c>
      <c r="F61" s="8">
        <f t="shared" si="0"/>
        <v>0</v>
      </c>
    </row>
    <row r="62" spans="1:6">
      <c r="A62" s="5" t="s">
        <v>16</v>
      </c>
      <c r="B62" s="6">
        <v>11990</v>
      </c>
      <c r="C62" s="5" t="s">
        <v>20</v>
      </c>
      <c r="D62" s="5" t="s">
        <v>23</v>
      </c>
      <c r="E62" s="7">
        <v>3370</v>
      </c>
      <c r="F62" s="8">
        <f t="shared" si="0"/>
        <v>0</v>
      </c>
    </row>
    <row r="63" spans="1:6">
      <c r="A63" s="5" t="s">
        <v>22</v>
      </c>
      <c r="B63" s="6">
        <v>8202</v>
      </c>
      <c r="C63" s="5" t="s">
        <v>28</v>
      </c>
      <c r="D63" s="5" t="s">
        <v>21</v>
      </c>
      <c r="E63" s="7">
        <v>1793</v>
      </c>
      <c r="F63" s="8">
        <f t="shared" si="0"/>
        <v>0</v>
      </c>
    </row>
    <row r="64" spans="1:6">
      <c r="A64" s="5" t="s">
        <v>22</v>
      </c>
      <c r="B64" s="6">
        <v>2579</v>
      </c>
      <c r="C64" s="5" t="s">
        <v>20</v>
      </c>
      <c r="D64" s="5" t="s">
        <v>18</v>
      </c>
      <c r="E64" s="7">
        <v>3426</v>
      </c>
      <c r="F64" s="8">
        <f t="shared" si="0"/>
        <v>0</v>
      </c>
    </row>
    <row r="65" spans="1:6">
      <c r="A65" s="5" t="s">
        <v>16</v>
      </c>
      <c r="B65" s="6">
        <v>10529</v>
      </c>
      <c r="C65" s="5" t="s">
        <v>28</v>
      </c>
      <c r="D65" s="5" t="s">
        <v>18</v>
      </c>
      <c r="E65" s="7">
        <v>4891</v>
      </c>
      <c r="F65" s="8">
        <f t="shared" si="0"/>
        <v>0</v>
      </c>
    </row>
    <row r="66" spans="1:6">
      <c r="A66" s="5" t="s">
        <v>22</v>
      </c>
      <c r="B66" s="6">
        <v>18564</v>
      </c>
      <c r="C66" s="5" t="s">
        <v>17</v>
      </c>
      <c r="D66" s="5" t="s">
        <v>21</v>
      </c>
      <c r="E66" s="7">
        <v>4775</v>
      </c>
      <c r="F66" s="8">
        <f t="shared" si="0"/>
        <v>0</v>
      </c>
    </row>
    <row r="67" spans="1:6">
      <c r="A67" s="5" t="s">
        <v>22</v>
      </c>
      <c r="B67" s="6">
        <v>11773</v>
      </c>
      <c r="C67" s="5" t="s">
        <v>30</v>
      </c>
      <c r="D67" s="5" t="s">
        <v>31</v>
      </c>
      <c r="E67" s="7">
        <v>1692</v>
      </c>
      <c r="F67" s="8">
        <f t="shared" si="0"/>
        <v>0</v>
      </c>
    </row>
    <row r="68" spans="1:6">
      <c r="A68" s="5" t="s">
        <v>22</v>
      </c>
      <c r="B68" s="6">
        <v>16256</v>
      </c>
      <c r="C68" s="5" t="s">
        <v>30</v>
      </c>
      <c r="D68" s="5" t="s">
        <v>31</v>
      </c>
      <c r="E68" s="7">
        <v>1483</v>
      </c>
      <c r="F68" s="8">
        <f t="shared" si="0"/>
        <v>0</v>
      </c>
    </row>
    <row r="69" spans="1:6">
      <c r="A69" s="5" t="s">
        <v>26</v>
      </c>
      <c r="B69" s="6">
        <v>16382</v>
      </c>
      <c r="C69" s="5" t="s">
        <v>32</v>
      </c>
      <c r="D69" s="5" t="s">
        <v>24</v>
      </c>
      <c r="E69" s="7">
        <v>2452</v>
      </c>
      <c r="F69" s="8">
        <f t="shared" si="0"/>
        <v>0</v>
      </c>
    </row>
    <row r="70" spans="1:6">
      <c r="A70" s="5" t="s">
        <v>26</v>
      </c>
      <c r="B70" s="6">
        <v>5816</v>
      </c>
      <c r="C70" s="5" t="s">
        <v>20</v>
      </c>
      <c r="D70" s="5" t="s">
        <v>21</v>
      </c>
      <c r="E70" s="7">
        <v>1322</v>
      </c>
      <c r="F70" s="8">
        <f t="shared" si="0"/>
        <v>1</v>
      </c>
    </row>
    <row r="71" spans="1:6">
      <c r="A71" s="5" t="s">
        <v>29</v>
      </c>
      <c r="B71" s="6">
        <v>3786</v>
      </c>
      <c r="C71" s="5" t="s">
        <v>30</v>
      </c>
      <c r="D71" s="5" t="s">
        <v>23</v>
      </c>
      <c r="E71" s="7">
        <v>1844</v>
      </c>
      <c r="F71" s="8">
        <f t="shared" si="0"/>
        <v>0</v>
      </c>
    </row>
    <row r="72" spans="1:6">
      <c r="A72" s="5" t="s">
        <v>16</v>
      </c>
      <c r="B72" s="6">
        <v>13383</v>
      </c>
      <c r="C72" s="5" t="s">
        <v>20</v>
      </c>
      <c r="D72" s="5" t="s">
        <v>21</v>
      </c>
      <c r="E72" s="7">
        <v>4338</v>
      </c>
      <c r="F72" s="8">
        <f t="shared" si="0"/>
        <v>1</v>
      </c>
    </row>
    <row r="73" spans="1:6">
      <c r="A73" s="5" t="s">
        <v>22</v>
      </c>
      <c r="B73" s="6">
        <v>5199</v>
      </c>
      <c r="C73" s="5" t="s">
        <v>32</v>
      </c>
      <c r="D73" s="5" t="s">
        <v>21</v>
      </c>
      <c r="E73" s="7">
        <v>1915</v>
      </c>
      <c r="F73" s="8">
        <f t="shared" si="0"/>
        <v>0</v>
      </c>
    </row>
    <row r="74" spans="1:6">
      <c r="A74" s="5" t="s">
        <v>22</v>
      </c>
      <c r="B74" s="6">
        <v>3773</v>
      </c>
      <c r="C74" s="5" t="s">
        <v>17</v>
      </c>
      <c r="D74" s="5" t="s">
        <v>27</v>
      </c>
      <c r="E74" s="7">
        <v>7304</v>
      </c>
      <c r="F74" s="8">
        <f t="shared" si="0"/>
        <v>0</v>
      </c>
    </row>
    <row r="75" spans="1:6">
      <c r="A75" s="5" t="s">
        <v>19</v>
      </c>
      <c r="B75" s="6">
        <v>3448</v>
      </c>
      <c r="C75" s="5" t="s">
        <v>20</v>
      </c>
      <c r="D75" s="5" t="s">
        <v>21</v>
      </c>
      <c r="E75" s="7">
        <v>1473</v>
      </c>
      <c r="F75" s="8">
        <f t="shared" si="0"/>
        <v>1</v>
      </c>
    </row>
    <row r="76" spans="1:6">
      <c r="A76" s="5" t="s">
        <v>19</v>
      </c>
      <c r="B76" s="6">
        <v>11383</v>
      </c>
      <c r="C76" s="5" t="s">
        <v>20</v>
      </c>
      <c r="D76" s="5" t="s">
        <v>21</v>
      </c>
      <c r="E76" s="7">
        <v>4214</v>
      </c>
      <c r="F76" s="8">
        <f t="shared" si="0"/>
        <v>1</v>
      </c>
    </row>
    <row r="77" spans="1:6">
      <c r="A77" s="5" t="s">
        <v>29</v>
      </c>
      <c r="B77" s="6">
        <v>11339</v>
      </c>
      <c r="C77" s="5" t="s">
        <v>17</v>
      </c>
      <c r="D77" s="5" t="s">
        <v>23</v>
      </c>
      <c r="E77" s="7">
        <v>3481</v>
      </c>
      <c r="F77" s="8">
        <f t="shared" si="0"/>
        <v>0</v>
      </c>
    </row>
    <row r="78" spans="1:6">
      <c r="A78" s="5" t="s">
        <v>29</v>
      </c>
      <c r="B78" s="6">
        <v>15229</v>
      </c>
      <c r="C78" s="5" t="s">
        <v>20</v>
      </c>
      <c r="D78" s="5" t="s">
        <v>18</v>
      </c>
      <c r="E78" s="7">
        <v>2357</v>
      </c>
      <c r="F78" s="8">
        <f t="shared" si="0"/>
        <v>0</v>
      </c>
    </row>
    <row r="79" spans="1:6">
      <c r="A79" s="5" t="s">
        <v>26</v>
      </c>
      <c r="B79" s="6">
        <v>10454</v>
      </c>
      <c r="C79" s="5" t="s">
        <v>20</v>
      </c>
      <c r="D79" s="5" t="s">
        <v>21</v>
      </c>
      <c r="E79" s="7">
        <v>2683</v>
      </c>
      <c r="F79" s="8">
        <f t="shared" si="0"/>
        <v>1</v>
      </c>
    </row>
    <row r="80" spans="1:6">
      <c r="A80" s="5" t="s">
        <v>19</v>
      </c>
      <c r="B80" s="6">
        <v>11938</v>
      </c>
      <c r="C80" s="5" t="s">
        <v>32</v>
      </c>
      <c r="D80" s="5" t="s">
        <v>24</v>
      </c>
      <c r="E80" s="7">
        <v>3185</v>
      </c>
      <c r="F80" s="8">
        <f t="shared" ref="F80:F143" si="1">IF(AND(C80="18-24",D80="Ensino Médio Completo"),1,0)</f>
        <v>0</v>
      </c>
    </row>
    <row r="81" spans="1:6">
      <c r="A81" s="5" t="s">
        <v>29</v>
      </c>
      <c r="B81" s="6">
        <v>13268</v>
      </c>
      <c r="C81" s="5" t="s">
        <v>17</v>
      </c>
      <c r="D81" s="5" t="s">
        <v>27</v>
      </c>
      <c r="E81" s="7">
        <v>5287</v>
      </c>
      <c r="F81" s="8">
        <f t="shared" si="1"/>
        <v>0</v>
      </c>
    </row>
    <row r="82" spans="1:6">
      <c r="A82" s="5" t="s">
        <v>16</v>
      </c>
      <c r="B82" s="6">
        <v>20784</v>
      </c>
      <c r="C82" s="5" t="s">
        <v>17</v>
      </c>
      <c r="D82" s="5" t="s">
        <v>31</v>
      </c>
      <c r="E82" s="7">
        <v>7925</v>
      </c>
      <c r="F82" s="8">
        <f t="shared" si="1"/>
        <v>0</v>
      </c>
    </row>
    <row r="83" spans="1:6">
      <c r="A83" s="5" t="s">
        <v>29</v>
      </c>
      <c r="B83" s="6">
        <v>8962</v>
      </c>
      <c r="C83" s="5" t="s">
        <v>25</v>
      </c>
      <c r="D83" s="5" t="s">
        <v>31</v>
      </c>
      <c r="E83" s="7">
        <v>2333</v>
      </c>
      <c r="F83" s="8">
        <f t="shared" si="1"/>
        <v>0</v>
      </c>
    </row>
    <row r="84" spans="1:6">
      <c r="A84" s="5" t="s">
        <v>16</v>
      </c>
      <c r="B84" s="6">
        <v>17504</v>
      </c>
      <c r="C84" s="5" t="s">
        <v>28</v>
      </c>
      <c r="D84" s="5" t="s">
        <v>31</v>
      </c>
      <c r="E84" s="7">
        <v>7702</v>
      </c>
      <c r="F84" s="8">
        <f t="shared" si="1"/>
        <v>0</v>
      </c>
    </row>
    <row r="85" spans="1:6">
      <c r="A85" s="5" t="s">
        <v>16</v>
      </c>
      <c r="B85" s="6">
        <v>20394</v>
      </c>
      <c r="C85" s="5" t="s">
        <v>17</v>
      </c>
      <c r="D85" s="5" t="s">
        <v>21</v>
      </c>
      <c r="E85" s="7">
        <v>6513</v>
      </c>
      <c r="F85" s="8">
        <f t="shared" si="1"/>
        <v>0</v>
      </c>
    </row>
    <row r="86" spans="1:6">
      <c r="A86" s="5" t="s">
        <v>22</v>
      </c>
      <c r="B86" s="6">
        <v>14667</v>
      </c>
      <c r="C86" s="5" t="s">
        <v>25</v>
      </c>
      <c r="D86" s="5" t="s">
        <v>23</v>
      </c>
      <c r="E86" s="7">
        <v>2395</v>
      </c>
      <c r="F86" s="8">
        <f t="shared" si="1"/>
        <v>0</v>
      </c>
    </row>
    <row r="87" spans="1:6">
      <c r="A87" s="5" t="s">
        <v>19</v>
      </c>
      <c r="B87" s="6">
        <v>8030</v>
      </c>
      <c r="C87" s="5" t="s">
        <v>30</v>
      </c>
      <c r="D87" s="5" t="s">
        <v>31</v>
      </c>
      <c r="E87" s="7">
        <v>1224</v>
      </c>
      <c r="F87" s="8">
        <f t="shared" si="1"/>
        <v>0</v>
      </c>
    </row>
    <row r="88" spans="1:6">
      <c r="A88" s="5" t="s">
        <v>19</v>
      </c>
      <c r="B88" s="6">
        <v>8491</v>
      </c>
      <c r="C88" s="5" t="s">
        <v>28</v>
      </c>
      <c r="D88" s="5" t="s">
        <v>23</v>
      </c>
      <c r="E88" s="7">
        <v>3248</v>
      </c>
      <c r="F88" s="8">
        <f t="shared" si="1"/>
        <v>0</v>
      </c>
    </row>
    <row r="89" spans="1:6">
      <c r="A89" s="5" t="s">
        <v>19</v>
      </c>
      <c r="B89" s="6">
        <v>13491</v>
      </c>
      <c r="C89" s="5" t="s">
        <v>20</v>
      </c>
      <c r="D89" s="5" t="s">
        <v>23</v>
      </c>
      <c r="E89" s="7">
        <v>5486</v>
      </c>
      <c r="F89" s="8">
        <f t="shared" si="1"/>
        <v>0</v>
      </c>
    </row>
    <row r="90" spans="1:6">
      <c r="A90" s="5" t="s">
        <v>19</v>
      </c>
      <c r="B90" s="6">
        <v>5976</v>
      </c>
      <c r="C90" s="5" t="s">
        <v>25</v>
      </c>
      <c r="D90" s="5" t="s">
        <v>31</v>
      </c>
      <c r="E90" s="7">
        <v>2329</v>
      </c>
      <c r="F90" s="8">
        <f t="shared" si="1"/>
        <v>0</v>
      </c>
    </row>
    <row r="91" spans="1:6">
      <c r="A91" s="5" t="s">
        <v>26</v>
      </c>
      <c r="B91" s="6">
        <v>15285</v>
      </c>
      <c r="C91" s="5" t="s">
        <v>32</v>
      </c>
      <c r="D91" s="5" t="s">
        <v>18</v>
      </c>
      <c r="E91" s="7">
        <v>6433</v>
      </c>
      <c r="F91" s="8">
        <f t="shared" si="1"/>
        <v>0</v>
      </c>
    </row>
    <row r="92" spans="1:6">
      <c r="A92" s="5" t="s">
        <v>29</v>
      </c>
      <c r="B92" s="6">
        <v>19388</v>
      </c>
      <c r="C92" s="5" t="s">
        <v>25</v>
      </c>
      <c r="D92" s="5" t="s">
        <v>23</v>
      </c>
      <c r="E92" s="7">
        <v>2493</v>
      </c>
      <c r="F92" s="8">
        <f t="shared" si="1"/>
        <v>0</v>
      </c>
    </row>
    <row r="93" spans="1:6">
      <c r="A93" s="5" t="s">
        <v>22</v>
      </c>
      <c r="B93" s="6">
        <v>12314</v>
      </c>
      <c r="C93" s="5" t="s">
        <v>25</v>
      </c>
      <c r="D93" s="5" t="s">
        <v>23</v>
      </c>
      <c r="E93" s="7">
        <v>2105</v>
      </c>
      <c r="F93" s="8">
        <f t="shared" si="1"/>
        <v>0</v>
      </c>
    </row>
    <row r="94" spans="1:6">
      <c r="A94" s="5" t="s">
        <v>16</v>
      </c>
      <c r="B94" s="6">
        <v>9270</v>
      </c>
      <c r="C94" s="5" t="s">
        <v>20</v>
      </c>
      <c r="D94" s="5" t="s">
        <v>21</v>
      </c>
      <c r="E94" s="7">
        <v>2329</v>
      </c>
      <c r="F94" s="8">
        <f t="shared" si="1"/>
        <v>1</v>
      </c>
    </row>
    <row r="95" spans="1:6">
      <c r="A95" s="5" t="s">
        <v>29</v>
      </c>
      <c r="B95" s="6">
        <v>13922</v>
      </c>
      <c r="C95" s="5" t="s">
        <v>17</v>
      </c>
      <c r="D95" s="5" t="s">
        <v>23</v>
      </c>
      <c r="E95" s="7">
        <v>4780</v>
      </c>
      <c r="F95" s="8">
        <f t="shared" si="1"/>
        <v>0</v>
      </c>
    </row>
    <row r="96" spans="1:6">
      <c r="A96" s="5" t="s">
        <v>29</v>
      </c>
      <c r="B96" s="6">
        <v>11690</v>
      </c>
      <c r="C96" s="5" t="s">
        <v>17</v>
      </c>
      <c r="D96" s="5" t="s">
        <v>27</v>
      </c>
      <c r="E96" s="7">
        <v>6128</v>
      </c>
      <c r="F96" s="8">
        <f t="shared" si="1"/>
        <v>0</v>
      </c>
    </row>
    <row r="97" spans="1:6">
      <c r="A97" s="5" t="s">
        <v>19</v>
      </c>
      <c r="B97" s="6">
        <v>16770</v>
      </c>
      <c r="C97" s="5" t="s">
        <v>28</v>
      </c>
      <c r="D97" s="5" t="s">
        <v>24</v>
      </c>
      <c r="E97" s="7">
        <v>7288</v>
      </c>
      <c r="F97" s="8">
        <f t="shared" si="1"/>
        <v>0</v>
      </c>
    </row>
    <row r="98" spans="1:6">
      <c r="A98" s="5" t="s">
        <v>26</v>
      </c>
      <c r="B98" s="6">
        <v>13574</v>
      </c>
      <c r="C98" s="5" t="s">
        <v>20</v>
      </c>
      <c r="D98" s="5" t="s">
        <v>23</v>
      </c>
      <c r="E98" s="7">
        <v>4594</v>
      </c>
      <c r="F98" s="8">
        <f t="shared" si="1"/>
        <v>0</v>
      </c>
    </row>
    <row r="99" spans="1:6">
      <c r="A99" s="5" t="s">
        <v>19</v>
      </c>
      <c r="B99" s="6">
        <v>6241</v>
      </c>
      <c r="C99" s="5" t="s">
        <v>17</v>
      </c>
      <c r="D99" s="5" t="s">
        <v>27</v>
      </c>
      <c r="E99" s="7">
        <v>1704</v>
      </c>
      <c r="F99" s="8">
        <f t="shared" si="1"/>
        <v>0</v>
      </c>
    </row>
    <row r="100" spans="1:6">
      <c r="A100" s="5" t="s">
        <v>22</v>
      </c>
      <c r="B100" s="6">
        <v>20417</v>
      </c>
      <c r="C100" s="5" t="s">
        <v>32</v>
      </c>
      <c r="D100" s="5" t="s">
        <v>24</v>
      </c>
      <c r="E100" s="7">
        <v>3618</v>
      </c>
      <c r="F100" s="8">
        <f t="shared" si="1"/>
        <v>0</v>
      </c>
    </row>
    <row r="101" spans="1:6">
      <c r="A101" s="5" t="s">
        <v>22</v>
      </c>
      <c r="B101" s="6">
        <v>21646</v>
      </c>
      <c r="C101" s="5" t="s">
        <v>25</v>
      </c>
      <c r="D101" s="5" t="s">
        <v>23</v>
      </c>
      <c r="E101" s="7">
        <v>2009</v>
      </c>
      <c r="F101" s="8">
        <f t="shared" si="1"/>
        <v>0</v>
      </c>
    </row>
    <row r="102" spans="1:6">
      <c r="A102" s="5" t="s">
        <v>16</v>
      </c>
      <c r="B102" s="6">
        <v>21516</v>
      </c>
      <c r="C102" s="5" t="s">
        <v>20</v>
      </c>
      <c r="D102" s="5" t="s">
        <v>23</v>
      </c>
      <c r="E102" s="7">
        <v>5121</v>
      </c>
      <c r="F102" s="8">
        <f t="shared" si="1"/>
        <v>0</v>
      </c>
    </row>
    <row r="103" spans="1:6">
      <c r="A103" s="5" t="s">
        <v>19</v>
      </c>
      <c r="B103" s="6">
        <v>11406</v>
      </c>
      <c r="C103" s="5" t="s">
        <v>32</v>
      </c>
      <c r="D103" s="5" t="s">
        <v>27</v>
      </c>
      <c r="E103" s="7">
        <v>2161</v>
      </c>
      <c r="F103" s="8">
        <f t="shared" si="1"/>
        <v>0</v>
      </c>
    </row>
    <row r="104" spans="1:6">
      <c r="A104" s="5" t="s">
        <v>19</v>
      </c>
      <c r="B104" s="6">
        <v>16121</v>
      </c>
      <c r="C104" s="5" t="s">
        <v>25</v>
      </c>
      <c r="D104" s="5" t="s">
        <v>31</v>
      </c>
      <c r="E104" s="7">
        <v>1728</v>
      </c>
      <c r="F104" s="8">
        <f t="shared" si="1"/>
        <v>0</v>
      </c>
    </row>
    <row r="105" spans="1:6">
      <c r="A105" s="5" t="s">
        <v>19</v>
      </c>
      <c r="B105" s="6">
        <v>13317</v>
      </c>
      <c r="C105" s="5" t="s">
        <v>32</v>
      </c>
      <c r="D105" s="5" t="s">
        <v>23</v>
      </c>
      <c r="E105" s="7">
        <v>5743</v>
      </c>
      <c r="F105" s="8">
        <f t="shared" si="1"/>
        <v>0</v>
      </c>
    </row>
    <row r="106" spans="1:6">
      <c r="A106" s="5" t="s">
        <v>26</v>
      </c>
      <c r="B106" s="6">
        <v>7508</v>
      </c>
      <c r="C106" s="5" t="s">
        <v>32</v>
      </c>
      <c r="D106" s="5" t="s">
        <v>21</v>
      </c>
      <c r="E106" s="7">
        <v>5739</v>
      </c>
      <c r="F106" s="8">
        <f t="shared" si="1"/>
        <v>0</v>
      </c>
    </row>
    <row r="107" spans="1:6">
      <c r="A107" s="5" t="s">
        <v>19</v>
      </c>
      <c r="B107" s="6">
        <v>18305</v>
      </c>
      <c r="C107" s="5" t="s">
        <v>28</v>
      </c>
      <c r="D107" s="5" t="s">
        <v>23</v>
      </c>
      <c r="E107" s="7">
        <v>6413</v>
      </c>
      <c r="F107" s="8">
        <f t="shared" si="1"/>
        <v>0</v>
      </c>
    </row>
    <row r="108" spans="1:6">
      <c r="A108" s="5" t="s">
        <v>22</v>
      </c>
      <c r="B108" s="6">
        <v>18635</v>
      </c>
      <c r="C108" s="5" t="s">
        <v>28</v>
      </c>
      <c r="D108" s="5" t="s">
        <v>21</v>
      </c>
      <c r="E108" s="7">
        <v>6266</v>
      </c>
      <c r="F108" s="8">
        <f t="shared" si="1"/>
        <v>0</v>
      </c>
    </row>
    <row r="109" spans="1:6">
      <c r="A109" s="5" t="s">
        <v>22</v>
      </c>
      <c r="B109" s="6">
        <v>10241</v>
      </c>
      <c r="C109" s="5" t="s">
        <v>30</v>
      </c>
      <c r="D109" s="5" t="s">
        <v>23</v>
      </c>
      <c r="E109" s="7">
        <v>1170</v>
      </c>
      <c r="F109" s="8">
        <f t="shared" si="1"/>
        <v>0</v>
      </c>
    </row>
    <row r="110" spans="1:6">
      <c r="A110" s="5" t="s">
        <v>16</v>
      </c>
      <c r="B110" s="6">
        <v>5117</v>
      </c>
      <c r="C110" s="5" t="s">
        <v>20</v>
      </c>
      <c r="D110" s="5" t="s">
        <v>31</v>
      </c>
      <c r="E110" s="7">
        <v>5241</v>
      </c>
      <c r="F110" s="8">
        <f t="shared" si="1"/>
        <v>0</v>
      </c>
    </row>
    <row r="111" spans="1:6">
      <c r="A111" s="5" t="s">
        <v>16</v>
      </c>
      <c r="B111" s="6">
        <v>8737</v>
      </c>
      <c r="C111" s="5" t="s">
        <v>32</v>
      </c>
      <c r="D111" s="5" t="s">
        <v>21</v>
      </c>
      <c r="E111" s="7">
        <v>6824</v>
      </c>
      <c r="F111" s="8">
        <f t="shared" si="1"/>
        <v>0</v>
      </c>
    </row>
    <row r="112" spans="1:6">
      <c r="A112" s="5" t="s">
        <v>22</v>
      </c>
      <c r="B112" s="6">
        <v>19756</v>
      </c>
      <c r="C112" s="5" t="s">
        <v>17</v>
      </c>
      <c r="D112" s="5" t="s">
        <v>27</v>
      </c>
      <c r="E112" s="7">
        <v>2942</v>
      </c>
      <c r="F112" s="8">
        <f t="shared" si="1"/>
        <v>0</v>
      </c>
    </row>
    <row r="113" spans="1:6">
      <c r="A113" s="5" t="s">
        <v>19</v>
      </c>
      <c r="B113" s="6">
        <v>18481</v>
      </c>
      <c r="C113" s="5" t="s">
        <v>20</v>
      </c>
      <c r="D113" s="5" t="s">
        <v>21</v>
      </c>
      <c r="E113" s="7">
        <v>3453</v>
      </c>
      <c r="F113" s="8">
        <f t="shared" si="1"/>
        <v>1</v>
      </c>
    </row>
    <row r="114" spans="1:6">
      <c r="A114" s="5" t="s">
        <v>29</v>
      </c>
      <c r="B114" s="6">
        <v>10112</v>
      </c>
      <c r="C114" s="5" t="s">
        <v>32</v>
      </c>
      <c r="D114" s="5" t="s">
        <v>21</v>
      </c>
      <c r="E114" s="7">
        <v>3302</v>
      </c>
      <c r="F114" s="8">
        <f t="shared" si="1"/>
        <v>0</v>
      </c>
    </row>
    <row r="115" spans="1:6">
      <c r="A115" s="5" t="s">
        <v>26</v>
      </c>
      <c r="B115" s="6">
        <v>21453</v>
      </c>
      <c r="C115" s="5" t="s">
        <v>17</v>
      </c>
      <c r="D115" s="5" t="s">
        <v>18</v>
      </c>
      <c r="E115" s="7">
        <v>5736</v>
      </c>
      <c r="F115" s="8">
        <f t="shared" si="1"/>
        <v>0</v>
      </c>
    </row>
    <row r="116" spans="1:6">
      <c r="A116" s="5" t="s">
        <v>22</v>
      </c>
      <c r="B116" s="6">
        <v>18660</v>
      </c>
      <c r="C116" s="5" t="s">
        <v>30</v>
      </c>
      <c r="D116" s="5" t="s">
        <v>31</v>
      </c>
      <c r="E116" s="7">
        <v>1623</v>
      </c>
      <c r="F116" s="8">
        <f t="shared" si="1"/>
        <v>0</v>
      </c>
    </row>
    <row r="117" spans="1:6">
      <c r="A117" s="5" t="s">
        <v>16</v>
      </c>
      <c r="B117" s="6">
        <v>15029</v>
      </c>
      <c r="C117" s="5" t="s">
        <v>25</v>
      </c>
      <c r="D117" s="5" t="s">
        <v>31</v>
      </c>
      <c r="E117" s="7">
        <v>1294</v>
      </c>
      <c r="F117" s="8">
        <f t="shared" si="1"/>
        <v>0</v>
      </c>
    </row>
    <row r="118" spans="1:6">
      <c r="A118" s="5" t="s">
        <v>16</v>
      </c>
      <c r="B118" s="6">
        <v>10749</v>
      </c>
      <c r="C118" s="5" t="s">
        <v>17</v>
      </c>
      <c r="D118" s="5" t="s">
        <v>27</v>
      </c>
      <c r="E118" s="7">
        <v>7511</v>
      </c>
      <c r="F118" s="8">
        <f t="shared" si="1"/>
        <v>0</v>
      </c>
    </row>
    <row r="119" spans="1:6">
      <c r="A119" s="5" t="s">
        <v>26</v>
      </c>
      <c r="B119" s="6">
        <v>9477</v>
      </c>
      <c r="C119" s="5" t="s">
        <v>17</v>
      </c>
      <c r="D119" s="5" t="s">
        <v>27</v>
      </c>
      <c r="E119" s="7">
        <v>1721</v>
      </c>
      <c r="F119" s="8">
        <f t="shared" si="1"/>
        <v>0</v>
      </c>
    </row>
    <row r="120" spans="1:6">
      <c r="A120" s="5" t="s">
        <v>19</v>
      </c>
      <c r="B120" s="6">
        <v>16375</v>
      </c>
      <c r="C120" s="5" t="s">
        <v>32</v>
      </c>
      <c r="D120" s="5" t="s">
        <v>21</v>
      </c>
      <c r="E120" s="7">
        <v>8476</v>
      </c>
      <c r="F120" s="8">
        <f t="shared" si="1"/>
        <v>0</v>
      </c>
    </row>
    <row r="121" spans="1:6">
      <c r="A121" s="5" t="s">
        <v>26</v>
      </c>
      <c r="B121" s="6">
        <v>4879</v>
      </c>
      <c r="C121" s="5" t="s">
        <v>32</v>
      </c>
      <c r="D121" s="5" t="s">
        <v>27</v>
      </c>
      <c r="E121" s="7">
        <v>3800</v>
      </c>
      <c r="F121" s="8">
        <f t="shared" si="1"/>
        <v>0</v>
      </c>
    </row>
    <row r="122" spans="1:6">
      <c r="A122" s="5" t="s">
        <v>22</v>
      </c>
      <c r="B122" s="6">
        <v>17204</v>
      </c>
      <c r="C122" s="5" t="s">
        <v>20</v>
      </c>
      <c r="D122" s="5" t="s">
        <v>23</v>
      </c>
      <c r="E122" s="7">
        <v>2743</v>
      </c>
      <c r="F122" s="8">
        <f t="shared" si="1"/>
        <v>0</v>
      </c>
    </row>
    <row r="123" spans="1:6">
      <c r="A123" s="5" t="s">
        <v>29</v>
      </c>
      <c r="B123" s="6">
        <v>12980</v>
      </c>
      <c r="C123" s="5" t="s">
        <v>20</v>
      </c>
      <c r="D123" s="5" t="s">
        <v>18</v>
      </c>
      <c r="E123" s="7">
        <v>3007</v>
      </c>
      <c r="F123" s="8">
        <f t="shared" si="1"/>
        <v>0</v>
      </c>
    </row>
    <row r="124" spans="1:6">
      <c r="A124" s="5" t="s">
        <v>19</v>
      </c>
      <c r="B124" s="6">
        <v>13499</v>
      </c>
      <c r="C124" s="5" t="s">
        <v>20</v>
      </c>
      <c r="D124" s="5" t="s">
        <v>21</v>
      </c>
      <c r="E124" s="7">
        <v>4483</v>
      </c>
      <c r="F124" s="8">
        <f t="shared" si="1"/>
        <v>1</v>
      </c>
    </row>
    <row r="125" spans="1:6">
      <c r="A125" s="5" t="s">
        <v>22</v>
      </c>
      <c r="B125" s="6">
        <v>19618</v>
      </c>
      <c r="C125" s="5" t="s">
        <v>17</v>
      </c>
      <c r="D125" s="5" t="s">
        <v>27</v>
      </c>
      <c r="E125" s="7">
        <v>1741</v>
      </c>
      <c r="F125" s="8">
        <f t="shared" si="1"/>
        <v>0</v>
      </c>
    </row>
    <row r="126" spans="1:6">
      <c r="A126" s="5" t="s">
        <v>19</v>
      </c>
      <c r="B126" s="6">
        <v>6562</v>
      </c>
      <c r="C126" s="5" t="s">
        <v>20</v>
      </c>
      <c r="D126" s="5" t="s">
        <v>21</v>
      </c>
      <c r="E126" s="7">
        <v>2849</v>
      </c>
      <c r="F126" s="8">
        <f t="shared" si="1"/>
        <v>1</v>
      </c>
    </row>
    <row r="127" spans="1:6">
      <c r="A127" s="5" t="s">
        <v>16</v>
      </c>
      <c r="B127" s="6">
        <v>16615</v>
      </c>
      <c r="C127" s="5" t="s">
        <v>20</v>
      </c>
      <c r="D127" s="5" t="s">
        <v>23</v>
      </c>
      <c r="E127" s="7">
        <v>5209</v>
      </c>
      <c r="F127" s="8">
        <f t="shared" si="1"/>
        <v>0</v>
      </c>
    </row>
    <row r="128" spans="1:6">
      <c r="A128" s="5" t="s">
        <v>22</v>
      </c>
      <c r="B128" s="6">
        <v>21103</v>
      </c>
      <c r="C128" s="5" t="s">
        <v>17</v>
      </c>
      <c r="D128" s="5" t="s">
        <v>21</v>
      </c>
      <c r="E128" s="7">
        <v>7246</v>
      </c>
      <c r="F128" s="8">
        <f t="shared" si="1"/>
        <v>0</v>
      </c>
    </row>
    <row r="129" spans="1:6">
      <c r="A129" s="5" t="s">
        <v>29</v>
      </c>
      <c r="B129" s="6">
        <v>9476</v>
      </c>
      <c r="C129" s="5" t="s">
        <v>32</v>
      </c>
      <c r="D129" s="5" t="s">
        <v>18</v>
      </c>
      <c r="E129" s="7">
        <v>5152</v>
      </c>
      <c r="F129" s="8">
        <f t="shared" si="1"/>
        <v>0</v>
      </c>
    </row>
    <row r="130" spans="1:6">
      <c r="A130" s="5" t="s">
        <v>19</v>
      </c>
      <c r="B130" s="6">
        <v>19391</v>
      </c>
      <c r="C130" s="5" t="s">
        <v>20</v>
      </c>
      <c r="D130" s="5" t="s">
        <v>21</v>
      </c>
      <c r="E130" s="7">
        <v>4235</v>
      </c>
      <c r="F130" s="8">
        <f t="shared" si="1"/>
        <v>1</v>
      </c>
    </row>
    <row r="131" spans="1:6">
      <c r="A131" s="5" t="s">
        <v>26</v>
      </c>
      <c r="B131" s="6">
        <v>10730</v>
      </c>
      <c r="C131" s="5" t="s">
        <v>20</v>
      </c>
      <c r="D131" s="5" t="s">
        <v>21</v>
      </c>
      <c r="E131" s="7">
        <v>3253</v>
      </c>
      <c r="F131" s="8">
        <f t="shared" si="1"/>
        <v>1</v>
      </c>
    </row>
    <row r="132" spans="1:6">
      <c r="A132" s="5" t="s">
        <v>26</v>
      </c>
      <c r="B132" s="6">
        <v>5260</v>
      </c>
      <c r="C132" s="5" t="s">
        <v>20</v>
      </c>
      <c r="D132" s="5" t="s">
        <v>23</v>
      </c>
      <c r="E132" s="7">
        <v>3482</v>
      </c>
      <c r="F132" s="8">
        <f t="shared" si="1"/>
        <v>0</v>
      </c>
    </row>
    <row r="133" spans="1:6">
      <c r="A133" s="5" t="s">
        <v>29</v>
      </c>
      <c r="B133" s="6">
        <v>21657</v>
      </c>
      <c r="C133" s="5" t="s">
        <v>28</v>
      </c>
      <c r="D133" s="5" t="s">
        <v>21</v>
      </c>
      <c r="E133" s="7">
        <v>3494</v>
      </c>
      <c r="F133" s="8">
        <f t="shared" si="1"/>
        <v>0</v>
      </c>
    </row>
    <row r="134" spans="1:6">
      <c r="A134" s="5" t="s">
        <v>29</v>
      </c>
      <c r="B134" s="6">
        <v>3782</v>
      </c>
      <c r="C134" s="5" t="s">
        <v>20</v>
      </c>
      <c r="D134" s="5" t="s">
        <v>21</v>
      </c>
      <c r="E134" s="7">
        <v>4288</v>
      </c>
      <c r="F134" s="8">
        <f t="shared" si="1"/>
        <v>1</v>
      </c>
    </row>
    <row r="135" spans="1:6">
      <c r="A135" s="5" t="s">
        <v>29</v>
      </c>
      <c r="B135" s="6">
        <v>16733</v>
      </c>
      <c r="C135" s="5" t="s">
        <v>30</v>
      </c>
      <c r="D135" s="5" t="s">
        <v>31</v>
      </c>
      <c r="E135" s="7">
        <v>1968</v>
      </c>
      <c r="F135" s="8">
        <f t="shared" si="1"/>
        <v>0</v>
      </c>
    </row>
    <row r="136" spans="1:6">
      <c r="A136" s="5" t="s">
        <v>16</v>
      </c>
      <c r="B136" s="6">
        <v>18531</v>
      </c>
      <c r="C136" s="5" t="s">
        <v>17</v>
      </c>
      <c r="D136" s="5" t="s">
        <v>18</v>
      </c>
      <c r="E136" s="7">
        <v>6445</v>
      </c>
      <c r="F136" s="8">
        <f t="shared" si="1"/>
        <v>0</v>
      </c>
    </row>
    <row r="137" spans="1:6">
      <c r="A137" s="5" t="s">
        <v>29</v>
      </c>
      <c r="B137" s="6">
        <v>15024</v>
      </c>
      <c r="C137" s="5" t="s">
        <v>25</v>
      </c>
      <c r="D137" s="5" t="s">
        <v>31</v>
      </c>
      <c r="E137" s="7">
        <v>1613</v>
      </c>
      <c r="F137" s="8">
        <f t="shared" si="1"/>
        <v>0</v>
      </c>
    </row>
    <row r="138" spans="1:6">
      <c r="A138" s="5" t="s">
        <v>26</v>
      </c>
      <c r="B138" s="6">
        <v>5662</v>
      </c>
      <c r="C138" s="5" t="s">
        <v>17</v>
      </c>
      <c r="D138" s="5" t="s">
        <v>18</v>
      </c>
      <c r="E138" s="7">
        <v>5171</v>
      </c>
      <c r="F138" s="8">
        <f t="shared" si="1"/>
        <v>0</v>
      </c>
    </row>
    <row r="139" spans="1:6">
      <c r="A139" s="5" t="s">
        <v>29</v>
      </c>
      <c r="B139" s="6">
        <v>21241</v>
      </c>
      <c r="C139" s="5" t="s">
        <v>20</v>
      </c>
      <c r="D139" s="5" t="s">
        <v>21</v>
      </c>
      <c r="E139" s="7">
        <v>3128</v>
      </c>
      <c r="F139" s="8">
        <f t="shared" si="1"/>
        <v>1</v>
      </c>
    </row>
    <row r="140" spans="1:6">
      <c r="A140" s="5" t="s">
        <v>19</v>
      </c>
      <c r="B140" s="6">
        <v>8799</v>
      </c>
      <c r="C140" s="5" t="s">
        <v>20</v>
      </c>
      <c r="D140" s="5" t="s">
        <v>21</v>
      </c>
      <c r="E140" s="7">
        <v>4006</v>
      </c>
      <c r="F140" s="8">
        <f t="shared" si="1"/>
        <v>1</v>
      </c>
    </row>
    <row r="141" spans="1:6">
      <c r="A141" s="5" t="s">
        <v>19</v>
      </c>
      <c r="B141" s="6">
        <v>8936</v>
      </c>
      <c r="C141" s="5" t="s">
        <v>32</v>
      </c>
      <c r="D141" s="5" t="s">
        <v>24</v>
      </c>
      <c r="E141" s="7">
        <v>8455</v>
      </c>
      <c r="F141" s="8">
        <f t="shared" si="1"/>
        <v>0</v>
      </c>
    </row>
    <row r="142" spans="1:6">
      <c r="A142" s="5" t="s">
        <v>29</v>
      </c>
      <c r="B142" s="6">
        <v>17699</v>
      </c>
      <c r="C142" s="5" t="s">
        <v>17</v>
      </c>
      <c r="D142" s="5" t="s">
        <v>21</v>
      </c>
      <c r="E142" s="7">
        <v>4411</v>
      </c>
      <c r="F142" s="8">
        <f t="shared" si="1"/>
        <v>0</v>
      </c>
    </row>
    <row r="143" spans="1:6">
      <c r="A143" s="5" t="s">
        <v>16</v>
      </c>
      <c r="B143" s="6">
        <v>21474</v>
      </c>
      <c r="C143" s="5" t="s">
        <v>17</v>
      </c>
      <c r="D143" s="5" t="s">
        <v>18</v>
      </c>
      <c r="E143" s="7">
        <v>7037</v>
      </c>
      <c r="F143" s="8">
        <f t="shared" si="1"/>
        <v>0</v>
      </c>
    </row>
    <row r="144" spans="1:6">
      <c r="A144" s="5" t="s">
        <v>19</v>
      </c>
      <c r="B144" s="6">
        <v>9784</v>
      </c>
      <c r="C144" s="5" t="s">
        <v>28</v>
      </c>
      <c r="D144" s="5" t="s">
        <v>23</v>
      </c>
      <c r="E144" s="7">
        <v>6935</v>
      </c>
      <c r="F144" s="8">
        <f t="shared" ref="F144:F153" si="2">IF(AND(C144="18-24",D144="Ensino Médio Completo"),1,0)</f>
        <v>0</v>
      </c>
    </row>
    <row r="145" spans="1:6">
      <c r="A145" s="5" t="s">
        <v>19</v>
      </c>
      <c r="B145" s="6">
        <v>11078</v>
      </c>
      <c r="C145" s="5" t="s">
        <v>32</v>
      </c>
      <c r="D145" s="5" t="s">
        <v>31</v>
      </c>
      <c r="E145" s="7">
        <v>6883</v>
      </c>
      <c r="F145" s="8">
        <f t="shared" si="2"/>
        <v>0</v>
      </c>
    </row>
    <row r="146" spans="1:6">
      <c r="A146" s="5" t="s">
        <v>26</v>
      </c>
      <c r="B146" s="6">
        <v>5486</v>
      </c>
      <c r="C146" s="5" t="s">
        <v>20</v>
      </c>
      <c r="D146" s="5" t="s">
        <v>18</v>
      </c>
      <c r="E146" s="7">
        <v>1599</v>
      </c>
      <c r="F146" s="8">
        <f t="shared" si="2"/>
        <v>0</v>
      </c>
    </row>
    <row r="147" spans="1:6">
      <c r="A147" s="5" t="s">
        <v>29</v>
      </c>
      <c r="B147" s="6">
        <v>21528</v>
      </c>
      <c r="C147" s="5" t="s">
        <v>20</v>
      </c>
      <c r="D147" s="5" t="s">
        <v>31</v>
      </c>
      <c r="E147" s="7">
        <v>4268</v>
      </c>
      <c r="F147" s="8">
        <f t="shared" si="2"/>
        <v>0</v>
      </c>
    </row>
    <row r="148" spans="1:6">
      <c r="A148" s="5" t="s">
        <v>26</v>
      </c>
      <c r="B148" s="6">
        <v>12003</v>
      </c>
      <c r="C148" s="5" t="s">
        <v>32</v>
      </c>
      <c r="D148" s="5" t="s">
        <v>24</v>
      </c>
      <c r="E148" s="7">
        <v>8261</v>
      </c>
      <c r="F148" s="8">
        <f t="shared" si="2"/>
        <v>0</v>
      </c>
    </row>
    <row r="149" spans="1:6">
      <c r="A149" s="5" t="s">
        <v>16</v>
      </c>
      <c r="B149" s="6">
        <v>19471</v>
      </c>
      <c r="C149" s="5" t="s">
        <v>25</v>
      </c>
      <c r="D149" s="5" t="s">
        <v>23</v>
      </c>
      <c r="E149" s="7">
        <v>1181</v>
      </c>
      <c r="F149" s="8">
        <f t="shared" si="2"/>
        <v>0</v>
      </c>
    </row>
    <row r="150" spans="1:6">
      <c r="A150" s="5" t="s">
        <v>29</v>
      </c>
      <c r="B150" s="6">
        <v>17089</v>
      </c>
      <c r="C150" s="5" t="s">
        <v>20</v>
      </c>
      <c r="D150" s="5" t="s">
        <v>21</v>
      </c>
      <c r="E150" s="7">
        <v>3168</v>
      </c>
      <c r="F150" s="8">
        <f t="shared" si="2"/>
        <v>1</v>
      </c>
    </row>
    <row r="151" spans="1:6">
      <c r="A151" s="5" t="s">
        <v>22</v>
      </c>
      <c r="B151" s="6">
        <v>17074</v>
      </c>
      <c r="C151" s="5" t="s">
        <v>20</v>
      </c>
      <c r="D151" s="5" t="s">
        <v>18</v>
      </c>
      <c r="E151" s="7">
        <v>1366</v>
      </c>
      <c r="F151" s="8">
        <f t="shared" si="2"/>
        <v>0</v>
      </c>
    </row>
    <row r="152" spans="1:6">
      <c r="A152" s="5" t="s">
        <v>16</v>
      </c>
      <c r="B152" s="6">
        <v>4027</v>
      </c>
      <c r="C152" s="5" t="s">
        <v>30</v>
      </c>
      <c r="D152" s="5" t="s">
        <v>23</v>
      </c>
      <c r="E152" s="7">
        <v>2355</v>
      </c>
      <c r="F152" s="8">
        <f t="shared" si="2"/>
        <v>0</v>
      </c>
    </row>
    <row r="153" spans="1:6">
      <c r="A153" s="5" t="s">
        <v>16</v>
      </c>
      <c r="B153" s="6">
        <v>7710</v>
      </c>
      <c r="C153" s="5" t="s">
        <v>20</v>
      </c>
      <c r="D153" s="5" t="s">
        <v>31</v>
      </c>
      <c r="E153" s="7">
        <v>1240</v>
      </c>
      <c r="F153" s="8">
        <f t="shared" si="2"/>
        <v>0</v>
      </c>
    </row>
  </sheetData>
  <mergeCells count="6">
    <mergeCell ref="A11:F12"/>
    <mergeCell ref="B2:F2"/>
    <mergeCell ref="B1:F1"/>
    <mergeCell ref="B3:F3"/>
    <mergeCell ref="B4:F4"/>
    <mergeCell ref="B6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345a1ed5b6bceafb22618e46e7a25cb7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c0868ddd47206da5fa30034c4c2aa058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dexed="true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A79A4406-64A6-41E9-8F1E-4EFA824E1E38}"/>
</file>

<file path=customXml/itemProps2.xml><?xml version="1.0" encoding="utf-8"?>
<ds:datastoreItem xmlns:ds="http://schemas.openxmlformats.org/officeDocument/2006/customXml" ds:itemID="{852619F1-4E9F-443A-B8A1-9F8D3F751082}"/>
</file>

<file path=customXml/itemProps3.xml><?xml version="1.0" encoding="utf-8"?>
<ds:datastoreItem xmlns:ds="http://schemas.openxmlformats.org/officeDocument/2006/customXml" ds:itemID="{7D227930-A270-49A5-8F04-51D5DE0025AB}"/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Nunes do Nascimento</dc:creator>
  <cp:keywords/>
  <dc:description/>
  <cp:lastModifiedBy/>
  <cp:revision/>
  <dcterms:created xsi:type="dcterms:W3CDTF">2026-03-13T01:47:23Z</dcterms:created>
  <dcterms:modified xsi:type="dcterms:W3CDTF">2026-08-11T20:36:01Z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  <property fmtid="{D5CDD505-2E9C-101B-9397-08002B2CF9AE}" pid="3" name="MediaServiceImageTags">
    <vt:lpwstr/>
  </property>
</Properties>
</file>